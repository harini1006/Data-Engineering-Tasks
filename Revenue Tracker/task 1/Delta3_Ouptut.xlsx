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venue 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&quot;£&quot;#,##0_);[Red]\(&quot;£&quot;#,##0\)"/>
    <numFmt numFmtId="165" formatCode="[$£-809]#,##0"/>
    <numFmt numFmtId="166" formatCode="_ * #,##0.00_ ;_ * \-#,##0.00_ ;_ * &quot;-&quot;??_ ;_ @_ "/>
  </numFmts>
  <fonts count="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color rgb="FF000000"/>
      <sz val="11"/>
      <scheme val="minor"/>
    </font>
    <font>
      <name val="Aptos Narrow"/>
      <b val="1"/>
      <color theme="0"/>
      <sz val="11"/>
      <scheme val="minor"/>
    </font>
    <font>
      <name val="Aptos Narrow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b val="1"/>
      <color rgb="FF000000"/>
      <sz val="28"/>
      <scheme val="minor"/>
    </font>
    <font>
      <name val="Aptos Narrow"/>
      <family val="2"/>
      <color theme="1"/>
      <sz val="11"/>
      <scheme val="minor"/>
    </font>
    <font>
      <name val="Aptos Display"/>
      <family val="2"/>
      <b val="1"/>
      <sz val="10.5"/>
      <scheme val="major"/>
    </font>
  </fonts>
  <fills count="6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rgb="FF000000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1" fillId="0" borderId="0"/>
    <xf numFmtId="9" fontId="1" fillId="0" borderId="0"/>
    <xf numFmtId="166" fontId="1" fillId="0" borderId="0"/>
  </cellStyleXfs>
  <cellXfs count="48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4" borderId="0" pivotButton="0" quotePrefix="0" xfId="0"/>
    <xf numFmtId="0" fontId="3" fillId="4" borderId="0" applyAlignment="1" pivotButton="0" quotePrefix="0" xfId="0">
      <alignment horizontal="right"/>
    </xf>
    <xf numFmtId="17" fontId="3" fillId="4" borderId="0" pivotButton="0" quotePrefix="0" xfId="0"/>
    <xf numFmtId="0" fontId="2" fillId="0" borderId="1" pivotButton="0" quotePrefix="0" xfId="0"/>
    <xf numFmtId="0" fontId="2" fillId="2" borderId="0" pivotButton="0" quotePrefix="0" xfId="0"/>
    <xf numFmtId="9" fontId="2" fillId="0" borderId="1" pivotButton="0" quotePrefix="0" xfId="0"/>
    <xf numFmtId="0" fontId="2" fillId="0" borderId="2" pivotButton="0" quotePrefix="0" xfId="0"/>
    <xf numFmtId="0" fontId="2" fillId="0" borderId="1" applyAlignment="1" pivotButton="0" quotePrefix="0" xfId="0">
      <alignment horizontal="right"/>
    </xf>
    <xf numFmtId="9" fontId="4" fillId="0" borderId="4" pivotButton="0" quotePrefix="0" xfId="0"/>
    <xf numFmtId="0" fontId="2" fillId="0" borderId="3" pivotButton="0" quotePrefix="0" xfId="0"/>
    <xf numFmtId="0" fontId="4" fillId="0" borderId="1" applyAlignment="1" pivotButton="0" quotePrefix="0" xfId="0">
      <alignment horizontal="right"/>
    </xf>
    <xf numFmtId="9" fontId="2" fillId="0" borderId="1" applyAlignment="1" pivotButton="0" quotePrefix="0" xfId="0">
      <alignment horizontal="right"/>
    </xf>
    <xf numFmtId="9" fontId="4" fillId="0" borderId="3" applyAlignment="1" pivotButton="0" quotePrefix="0" xfId="0">
      <alignment horizontal="right"/>
    </xf>
    <xf numFmtId="0" fontId="2" fillId="0" borderId="5" pivotButton="0" quotePrefix="0" xfId="0"/>
    <xf numFmtId="9" fontId="2" fillId="0" borderId="2" pivotButton="0" quotePrefix="0" xfId="1"/>
    <xf numFmtId="0" fontId="2" fillId="0" borderId="7" pivotButton="0" quotePrefix="0" xfId="0"/>
    <xf numFmtId="9" fontId="4" fillId="0" borderId="8" pivotButton="0" quotePrefix="0" xfId="0"/>
    <xf numFmtId="0" fontId="4" fillId="0" borderId="6" pivotButton="0" quotePrefix="0" xfId="0"/>
    <xf numFmtId="0" fontId="4" fillId="0" borderId="5" pivotButton="0" quotePrefix="0" xfId="0"/>
    <xf numFmtId="0" fontId="2" fillId="0" borderId="8" pivotButton="0" quotePrefix="0" xfId="0"/>
    <xf numFmtId="9" fontId="4" fillId="0" borderId="3" applyAlignment="1" pivotButton="0" quotePrefix="0" xfId="1">
      <alignment horizontal="right"/>
    </xf>
    <xf numFmtId="9" fontId="2" fillId="0" borderId="8" pivotButton="0" quotePrefix="0" xfId="1"/>
    <xf numFmtId="17" fontId="3" fillId="4" borderId="8" pivotButton="0" quotePrefix="0" xfId="0"/>
    <xf numFmtId="0" fontId="3" fillId="4" borderId="8" applyAlignment="1" pivotButton="0" quotePrefix="0" xfId="0">
      <alignment horizontal="right"/>
    </xf>
    <xf numFmtId="9" fontId="2" fillId="3" borderId="8" pivotButton="0" quotePrefix="0" xfId="1"/>
    <xf numFmtId="9" fontId="7" fillId="0" borderId="3" applyAlignment="1" pivotButton="0" quotePrefix="0" xfId="1">
      <alignment horizontal="right"/>
    </xf>
    <xf numFmtId="164" fontId="2" fillId="2" borderId="2" pivotButton="0" quotePrefix="0" xfId="0"/>
    <xf numFmtId="164" fontId="4" fillId="0" borderId="1" applyAlignment="1" pivotButton="0" quotePrefix="0" xfId="0">
      <alignment horizontal="right"/>
    </xf>
    <xf numFmtId="164" fontId="2" fillId="2" borderId="0" pivotButton="0" quotePrefix="0" xfId="0"/>
    <xf numFmtId="164" fontId="2" fillId="0" borderId="2" pivotButton="0" quotePrefix="0" xfId="0"/>
    <xf numFmtId="164" fontId="4" fillId="0" borderId="3" applyAlignment="1" pivotButton="0" quotePrefix="0" xfId="0">
      <alignment horizontal="right"/>
    </xf>
    <xf numFmtId="164" fontId="2" fillId="2" borderId="7" pivotButton="0" quotePrefix="0" xfId="0"/>
    <xf numFmtId="0" fontId="5" fillId="0" borderId="1" pivotButton="0" quotePrefix="0" xfId="0"/>
    <xf numFmtId="0" fontId="5" fillId="3" borderId="1" pivotButton="0" quotePrefix="0" xfId="0"/>
    <xf numFmtId="0" fontId="4" fillId="0" borderId="0" pivotButton="0" quotePrefix="0" xfId="0"/>
    <xf numFmtId="165" fontId="8" fillId="0" borderId="0" applyAlignment="1" pivotButton="0" quotePrefix="0" xfId="2">
      <alignment horizontal="right" vertical="top"/>
    </xf>
    <xf numFmtId="0" fontId="6" fillId="5" borderId="0" applyAlignment="1" pivotButton="0" quotePrefix="0" xfId="0">
      <alignment horizontal="center"/>
    </xf>
    <xf numFmtId="0" fontId="4" fillId="0" borderId="0" pivotButton="0" quotePrefix="0" xfId="0"/>
    <xf numFmtId="164" fontId="2" fillId="2" borderId="2" pivotButton="0" quotePrefix="0" xfId="0"/>
    <xf numFmtId="164" fontId="4" fillId="0" borderId="1" applyAlignment="1" pivotButton="0" quotePrefix="0" xfId="0">
      <alignment horizontal="right"/>
    </xf>
    <xf numFmtId="165" fontId="8" fillId="0" borderId="0" applyAlignment="1" pivotButton="0" quotePrefix="0" xfId="2">
      <alignment horizontal="right" vertical="top"/>
    </xf>
    <xf numFmtId="164" fontId="2" fillId="2" borderId="0" pivotButton="0" quotePrefix="0" xfId="0"/>
    <xf numFmtId="164" fontId="2" fillId="0" borderId="2" pivotButton="0" quotePrefix="0" xfId="0"/>
    <xf numFmtId="164" fontId="4" fillId="0" borderId="3" applyAlignment="1" pivotButton="0" quotePrefix="0" xfId="0">
      <alignment horizontal="right"/>
    </xf>
    <xf numFmtId="164" fontId="2" fillId="2" borderId="7" pivotButton="0" quotePrefix="0" xfId="0"/>
  </cellXfs>
  <cellStyles count="3">
    <cellStyle name="Normal" xfId="0" builtinId="0"/>
    <cellStyle name="Percent" xfId="1" builtinId="5"/>
    <cellStyle name="Comma" xfId="2" builtinId="3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7" tint="-0.249977111117893"/>
    <outlinePr summaryBelow="1" summaryRight="1"/>
    <pageSetUpPr/>
  </sheetPr>
  <dimension ref="A1:AC15"/>
  <sheetViews>
    <sheetView tabSelected="1" zoomScaleNormal="100" workbookViewId="0">
      <selection activeCell="D17" sqref="D17"/>
    </sheetView>
  </sheetViews>
  <sheetFormatPr baseColWidth="8" defaultColWidth="10.875" defaultRowHeight="14.45"/>
  <cols>
    <col width="57.875" customWidth="1" style="40" min="1" max="1"/>
    <col width="16.375" customWidth="1" style="40" min="2" max="2"/>
    <col width="12.375" customWidth="1" style="40" min="3" max="3"/>
    <col width="12.875" customWidth="1" style="40" min="4" max="4"/>
    <col width="10.875" customWidth="1" style="40" min="5" max="43"/>
    <col width="10.875" customWidth="1" style="40" min="44" max="16384"/>
  </cols>
  <sheetData>
    <row r="1" ht="35.25" customHeight="1">
      <c r="A1" s="39" t="inlineStr">
        <is>
          <t>PERFORMANCE - REVENUE TRACKER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n"/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 ht="15" customHeight="1">
      <c r="B3" s="1" t="n"/>
      <c r="C3" s="25" t="n"/>
      <c r="D3" s="25" t="n">
        <v>45748</v>
      </c>
      <c r="E3" s="25" t="n">
        <v>45778</v>
      </c>
      <c r="F3" s="25" t="n">
        <v>45809</v>
      </c>
      <c r="G3" s="25" t="n">
        <v>45839</v>
      </c>
      <c r="H3" s="25" t="n">
        <v>45870</v>
      </c>
      <c r="I3" s="25" t="n">
        <v>45901</v>
      </c>
      <c r="J3" s="25" t="n">
        <v>45931</v>
      </c>
      <c r="K3" s="25" t="n">
        <v>45962</v>
      </c>
      <c r="L3" s="25" t="n">
        <v>45992</v>
      </c>
      <c r="M3" s="25" t="n">
        <v>46023</v>
      </c>
      <c r="N3" s="25" t="n">
        <v>46054</v>
      </c>
      <c r="O3" s="25" t="n">
        <v>46082</v>
      </c>
      <c r="P3" s="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B4" s="1" t="n"/>
      <c r="C4" s="22" t="inlineStr">
        <is>
          <t xml:space="preserve">Exchange Rate </t>
        </is>
      </c>
      <c r="D4" s="22" t="n">
        <v>112.86</v>
      </c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B5" s="1" t="n"/>
      <c r="C5" s="22" t="inlineStr">
        <is>
          <t>Headcount</t>
        </is>
      </c>
      <c r="D5" s="22" t="n">
        <v>146</v>
      </c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 ht="15" customHeight="1">
      <c r="A6" s="3" t="n"/>
      <c r="B6" s="3" t="inlineStr">
        <is>
          <t>KPI Target - (Yearly Avg)</t>
        </is>
      </c>
      <c r="C6" s="4" t="inlineStr">
        <is>
          <t>KPI Achieved(Yearly Avg)</t>
        </is>
      </c>
      <c r="D6" s="25" t="n">
        <v>45748</v>
      </c>
      <c r="E6" s="5" t="n">
        <v>45778</v>
      </c>
      <c r="F6" s="5" t="n">
        <v>45809</v>
      </c>
      <c r="G6" s="5" t="n">
        <v>45839</v>
      </c>
      <c r="H6" s="5" t="n">
        <v>45870</v>
      </c>
      <c r="I6" s="5" t="n">
        <v>45901</v>
      </c>
      <c r="J6" s="5" t="n">
        <v>45931</v>
      </c>
      <c r="K6" s="5" t="n">
        <v>45962</v>
      </c>
      <c r="L6" s="5" t="n">
        <v>45992</v>
      </c>
      <c r="M6" s="5" t="n">
        <v>46023</v>
      </c>
      <c r="N6" s="5" t="n">
        <v>46054</v>
      </c>
      <c r="O6" s="5" t="n">
        <v>46082</v>
      </c>
      <c r="P6" s="4" t="inlineStr">
        <is>
          <t>Annual Total</t>
        </is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>
      <c r="A7" s="6" t="inlineStr">
        <is>
          <t xml:space="preserve">Revenue </t>
        </is>
      </c>
      <c r="B7" s="41" t="n">
        <v>375000</v>
      </c>
      <c r="C7" s="42" t="e">
        <v>#DIV/0!</v>
      </c>
      <c r="D7" s="43" t="n">
        <v>320000</v>
      </c>
      <c r="E7" s="41" t="n">
        <v>295000</v>
      </c>
      <c r="F7" s="41" t="n">
        <v>345000</v>
      </c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>
        <v>0</v>
      </c>
      <c r="Q7" s="44" t="n"/>
      <c r="R7" s="7" t="n"/>
      <c r="S7" s="7" t="n"/>
      <c r="T7" s="7" t="n"/>
      <c r="U7" s="7" t="n"/>
      <c r="V7" s="1" t="n"/>
      <c r="W7" s="1" t="n"/>
      <c r="X7" s="1" t="n"/>
      <c r="Y7" s="1" t="n"/>
      <c r="Z7" s="1" t="n"/>
      <c r="AA7" s="1" t="n"/>
      <c r="AB7" s="1" t="n"/>
      <c r="AC7" s="1" t="n"/>
    </row>
    <row r="8">
      <c r="A8" s="6" t="inlineStr">
        <is>
          <t>Revenue %</t>
        </is>
      </c>
      <c r="B8" s="8" t="n">
        <v>0.45</v>
      </c>
      <c r="C8" s="42" t="e">
        <v>#DIV/0!</v>
      </c>
      <c r="D8" s="17" t="n">
        <v>0.4155191723184321</v>
      </c>
      <c r="E8" s="11" t="n">
        <v>0.4</v>
      </c>
      <c r="F8" s="11" t="n">
        <v>0.44</v>
      </c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45" t="e">
        <v>#DIV/0!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>
      <c r="A9" s="12" t="n"/>
      <c r="B9" s="10" t="n"/>
      <c r="C9" s="13" t="n"/>
      <c r="D9" s="16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1" t="n"/>
      <c r="P9" s="9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</row>
    <row r="10" ht="15" customHeight="1">
      <c r="A10" s="35" t="inlineStr">
        <is>
          <t>Total Workforce Cost (CoreEmp + TL + Cons + Inc)</t>
        </is>
      </c>
      <c r="C10" s="46" t="e">
        <v>#DIV/0!</v>
      </c>
      <c r="D10" s="41" t="n">
        <v>189255.3802779122</v>
      </c>
      <c r="E10" s="41" t="n">
        <v>174000</v>
      </c>
      <c r="F10" s="41" t="n">
        <v>201400</v>
      </c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7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>
      <c r="A11" s="6" t="inlineStr">
        <is>
          <t>Tech Salary Cost %</t>
        </is>
      </c>
      <c r="B11" s="14" t="n">
        <v>0.5</v>
      </c>
      <c r="C11" s="23" t="n">
        <v>0</v>
      </c>
      <c r="D11" s="24" t="n">
        <v>0.5914230633684758</v>
      </c>
      <c r="E11" s="24" t="n">
        <v>0.5898305084745763</v>
      </c>
      <c r="F11" s="24" t="n">
        <v>0.5837681159420289</v>
      </c>
      <c r="G11" s="24" t="n"/>
      <c r="H11" s="24" t="e">
        <v>#DIV/0!</v>
      </c>
      <c r="I11" s="24" t="e">
        <v>#DIV/0!</v>
      </c>
      <c r="J11" s="24" t="e">
        <v>#DIV/0!</v>
      </c>
      <c r="K11" s="24" t="e">
        <v>#DIV/0!</v>
      </c>
      <c r="L11" s="24" t="e">
        <v>#DIV/0!</v>
      </c>
      <c r="M11" s="24" t="e">
        <v>#DIV/0!</v>
      </c>
      <c r="N11" s="24" t="e">
        <v>#DIV/0!</v>
      </c>
      <c r="O11" s="24" t="e">
        <v>#DIV/0!</v>
      </c>
      <c r="P11" s="45" t="n">
        <v>0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>
      <c r="A12" s="6" t="n"/>
      <c r="B12" s="14" t="n"/>
      <c r="C12" s="15" t="n"/>
      <c r="D12" s="22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8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</row>
    <row r="13" ht="15" customHeight="1">
      <c r="A13" s="36" t="inlineStr">
        <is>
          <t>Total Salary Allocation for project</t>
        </is>
      </c>
      <c r="B13" s="6" t="n"/>
      <c r="C13" s="46" t="e">
        <v>#DIV/0!</v>
      </c>
      <c r="D13" s="41" t="n">
        <v>234311.3682084915</v>
      </c>
      <c r="E13" s="41" t="n">
        <v>217500</v>
      </c>
      <c r="F13" s="41" t="n">
        <v>245500</v>
      </c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7" t="n">
        <v>0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>
      <c r="A14" s="6" t="inlineStr">
        <is>
          <t>Total Salary Allocation %</t>
        </is>
      </c>
      <c r="B14" s="8" t="n">
        <v>0.53</v>
      </c>
      <c r="C14" s="28" t="e">
        <v>#DIV/0!</v>
      </c>
      <c r="D14" s="27" t="n">
        <v>0.732223025651536</v>
      </c>
      <c r="E14" s="27" t="n">
        <v>0.74</v>
      </c>
      <c r="F14" s="27" t="n">
        <v>0.71</v>
      </c>
      <c r="G14" s="27" t="n"/>
      <c r="H14" s="27" t="e">
        <v>#DIV/0!</v>
      </c>
      <c r="I14" s="27" t="e">
        <v>#DIV/0!</v>
      </c>
      <c r="J14" s="27" t="e">
        <v>#DIV/0!</v>
      </c>
      <c r="K14" s="27" t="e">
        <v>#DIV/0!</v>
      </c>
      <c r="L14" s="27" t="e">
        <v>#DIV/0!</v>
      </c>
      <c r="M14" s="27" t="e">
        <v>#DIV/0!</v>
      </c>
      <c r="N14" s="27" t="e">
        <v>#DIV/0!</v>
      </c>
      <c r="O14" s="27" t="e">
        <v>#DIV/0!</v>
      </c>
      <c r="P14" s="45" t="e">
        <v>#DIV/0!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</row>
    <row r="15">
      <c r="A15" s="6" t="n"/>
      <c r="B15" s="8" t="n"/>
      <c r="C15" s="15" t="n"/>
      <c r="D15" s="22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8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</row>
  </sheetData>
  <mergeCells count="1">
    <mergeCell ref="A1:P1"/>
  </mergeCells>
  <conditionalFormatting sqref="D8:O8">
    <cfRule type="cellIs" priority="17" operator="between" dxfId="4">
      <formula>0.41</formula>
      <formula>0.44</formula>
    </cfRule>
    <cfRule type="cellIs" priority="18" operator="between" dxfId="3">
      <formula>0.41</formula>
      <formula>0.44</formula>
    </cfRule>
    <cfRule type="cellIs" priority="19" operator="lessThanOrEqual" dxfId="3">
      <formula>0.4</formula>
    </cfRule>
    <cfRule type="cellIs" priority="20" operator="greaterThanOrEqual" dxfId="0">
      <formula>0.45</formula>
    </cfRule>
  </conditionalFormatting>
  <conditionalFormatting sqref="D11:P11">
    <cfRule type="cellIs" priority="1" operator="between" dxfId="4">
      <formula>0.51</formula>
      <formula>0.54</formula>
    </cfRule>
    <cfRule type="cellIs" priority="2" operator="greaterThanOrEqual" dxfId="3">
      <formula>0.55</formula>
    </cfRule>
    <cfRule type="cellIs" priority="3" operator="lessThanOrEqual" dxfId="0">
      <formula>0.5</formula>
    </cfRule>
  </conditionalFormatting>
  <conditionalFormatting sqref="P8">
    <cfRule type="cellIs" priority="44" operator="greaterThan" dxfId="0">
      <formula>0.45</formula>
    </cfRule>
  </conditionalFormatting>
  <conditionalFormatting sqref="P14">
    <cfRule type="cellIs" priority="25" operator="greaterThan" dxfId="0">
      <formula>0.45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Gladys Christopher</dc:creator>
  <dcterms:created xmlns:dcterms="http://purl.org/dc/terms/" xmlns:xsi="http://www.w3.org/2001/XMLSchema-instance" xsi:type="dcterms:W3CDTF">2025-05-07T06:12:18Z</dcterms:created>
  <dcterms:modified xmlns:dcterms="http://purl.org/dc/terms/" xmlns:xsi="http://www.w3.org/2001/XMLSchema-instance" xsi:type="dcterms:W3CDTF">2026-03-25T08:16:53Z</dcterms:modified>
</cp:coreProperties>
</file>